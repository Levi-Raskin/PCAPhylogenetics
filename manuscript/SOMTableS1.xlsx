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r/Documents/GitHub/PCAPhylogenetics/manuscript/"/>
    </mc:Choice>
  </mc:AlternateContent>
  <xr:revisionPtr revIDLastSave="0" documentId="13_ncr:1_{BA210917-1057-0A4B-A316-590E902D528A}" xr6:coauthVersionLast="47" xr6:coauthVersionMax="47" xr10:uidLastSave="{00000000-0000-0000-0000-000000000000}"/>
  <bookViews>
    <workbookView xWindow="120" yWindow="680" windowWidth="19000" windowHeight="9660" activeTab="3" xr2:uid="{E25D6A9F-8628-FE4F-95A6-659B2F4C501A}"/>
  </bookViews>
  <sheets>
    <sheet name="PC1 and 2 (unaligned)" sheetId="1" r:id="rId1"/>
    <sheet name="All PCs (unaligned)" sheetId="2" r:id="rId2"/>
    <sheet name="PC1 and 2 (aligned)" sheetId="3" r:id="rId3"/>
    <sheet name="All PCs (aligne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C30" i="4"/>
  <c r="C29" i="4"/>
  <c r="G28" i="4"/>
  <c r="D14" i="4"/>
  <c r="C14" i="4"/>
  <c r="C13" i="4"/>
  <c r="G12" i="4"/>
  <c r="D30" i="3"/>
  <c r="C30" i="3"/>
  <c r="C29" i="3"/>
  <c r="G28" i="3"/>
  <c r="D14" i="3"/>
  <c r="C14" i="3"/>
  <c r="C13" i="3"/>
  <c r="G12" i="3"/>
  <c r="G28" i="2"/>
  <c r="G12" i="2"/>
  <c r="G28" i="1"/>
  <c r="G12" i="1"/>
  <c r="D30" i="2"/>
  <c r="C30" i="2"/>
  <c r="C29" i="2"/>
  <c r="C29" i="1"/>
  <c r="D30" i="1"/>
  <c r="C30" i="1"/>
  <c r="C14" i="2"/>
  <c r="D14" i="2"/>
  <c r="C13" i="2"/>
  <c r="D14" i="1"/>
  <c r="C14" i="1"/>
  <c r="C13" i="1"/>
</calcChain>
</file>

<file path=xl/sharedStrings.xml><?xml version="1.0" encoding="utf-8"?>
<sst xmlns="http://schemas.openxmlformats.org/spreadsheetml/2006/main" count="129" uniqueCount="14">
  <si>
    <t>Number of landmarks\number of landmarks</t>
  </si>
  <si>
    <t>Geometric morphometric data</t>
  </si>
  <si>
    <t>Mean SPR distance</t>
  </si>
  <si>
    <t>Significance of that shift (Mann-Whitney U test)</t>
  </si>
  <si>
    <t>Number of landmarks</t>
  </si>
  <si>
    <t>Difference in mean SPR distance</t>
  </si>
  <si>
    <t>&lt;2.2e-16</t>
  </si>
  <si>
    <t>Mean RF distance</t>
  </si>
  <si>
    <t>Difference in mean RF distance</t>
  </si>
  <si>
    <t>Number of dimensions</t>
  </si>
  <si>
    <t>2 vs. 3 dimensions</t>
  </si>
  <si>
    <t>PC1 and PC2 only, across both 2D and 3D data, without Procrustes alignment</t>
  </si>
  <si>
    <t>All PCs, across both 2D and 3D data, without procrustes alignment</t>
  </si>
  <si>
    <t>SOM Table S1 from Raskin et al. (2025) detailing means, mean shifts, and significance of those shifts in the mean tree 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</si>
</sst>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F5EB-1D54-F348-9604-1887B0B02EE6}">
  <dimension ref="A1:G35"/>
  <sheetViews>
    <sheetView topLeftCell="A28" workbookViewId="0">
      <selection activeCell="A32" sqref="A32"/>
    </sheetView>
  </sheetViews>
  <sheetFormatPr baseColWidth="10" defaultRowHeight="16" x14ac:dyDescent="0.2"/>
  <sheetData>
    <row r="1" spans="1:7" x14ac:dyDescent="0.2">
      <c r="A1" s="1" t="s">
        <v>1</v>
      </c>
    </row>
    <row r="2" spans="1:7" x14ac:dyDescent="0.2">
      <c r="A2" t="s">
        <v>13</v>
      </c>
    </row>
    <row r="3" spans="1:7" x14ac:dyDescent="0.2">
      <c r="A3" t="s">
        <v>11</v>
      </c>
    </row>
    <row r="5" spans="1:7" x14ac:dyDescent="0.2">
      <c r="A5" s="1" t="s">
        <v>2</v>
      </c>
    </row>
    <row r="6" spans="1:7" x14ac:dyDescent="0.2">
      <c r="B6" t="s">
        <v>4</v>
      </c>
      <c r="F6" t="s">
        <v>9</v>
      </c>
    </row>
    <row r="7" spans="1:7" x14ac:dyDescent="0.2">
      <c r="B7">
        <v>10</v>
      </c>
      <c r="C7">
        <v>9.4770000000000003</v>
      </c>
      <c r="F7">
        <v>2</v>
      </c>
      <c r="G7">
        <v>9.7289999999999992</v>
      </c>
    </row>
    <row r="8" spans="1:7" x14ac:dyDescent="0.2">
      <c r="B8">
        <v>25</v>
      </c>
      <c r="C8">
        <v>9.4619999999999997</v>
      </c>
      <c r="F8">
        <v>3</v>
      </c>
      <c r="G8">
        <v>9.1620000000000008</v>
      </c>
    </row>
    <row r="9" spans="1:7" x14ac:dyDescent="0.2">
      <c r="B9">
        <v>50</v>
      </c>
      <c r="C9">
        <v>9.3970000000000002</v>
      </c>
    </row>
    <row r="11" spans="1:7" x14ac:dyDescent="0.2">
      <c r="A11" s="1" t="s">
        <v>5</v>
      </c>
      <c r="F11" t="s">
        <v>5</v>
      </c>
    </row>
    <row r="12" spans="1:7" x14ac:dyDescent="0.2">
      <c r="B12" t="s">
        <v>0</v>
      </c>
      <c r="C12">
        <v>10</v>
      </c>
      <c r="D12">
        <v>25</v>
      </c>
      <c r="F12" t="s">
        <v>10</v>
      </c>
      <c r="G12">
        <f xml:space="preserve"> G8-G7</f>
        <v>-0.56699999999999839</v>
      </c>
    </row>
    <row r="13" spans="1:7" x14ac:dyDescent="0.2">
      <c r="B13">
        <v>25</v>
      </c>
      <c r="C13">
        <f>C8-C7</f>
        <v>-1.5000000000000568E-2</v>
      </c>
      <c r="D13" s="2"/>
    </row>
    <row r="14" spans="1:7" x14ac:dyDescent="0.2">
      <c r="B14">
        <v>50</v>
      </c>
      <c r="C14">
        <f>C9-C7</f>
        <v>-8.0000000000000071E-2</v>
      </c>
      <c r="D14">
        <f>C9-C8</f>
        <v>-6.4999999999999503E-2</v>
      </c>
    </row>
    <row r="16" spans="1:7" x14ac:dyDescent="0.2">
      <c r="A16" s="1" t="s">
        <v>3</v>
      </c>
      <c r="F16" t="s">
        <v>3</v>
      </c>
    </row>
    <row r="17" spans="1:7" x14ac:dyDescent="0.2">
      <c r="B17" t="s">
        <v>0</v>
      </c>
      <c r="C17">
        <v>10</v>
      </c>
      <c r="D17">
        <v>25</v>
      </c>
      <c r="F17" t="s">
        <v>10</v>
      </c>
      <c r="G17" s="3" t="s">
        <v>6</v>
      </c>
    </row>
    <row r="18" spans="1:7" x14ac:dyDescent="0.2">
      <c r="B18">
        <v>25</v>
      </c>
      <c r="C18" s="3">
        <v>1.9709999999999999E-11</v>
      </c>
      <c r="D18" s="2"/>
    </row>
    <row r="19" spans="1:7" x14ac:dyDescent="0.2">
      <c r="B19">
        <v>50</v>
      </c>
      <c r="C19" s="3" t="s">
        <v>6</v>
      </c>
      <c r="D19" s="3" t="s">
        <v>6</v>
      </c>
    </row>
    <row r="21" spans="1:7" x14ac:dyDescent="0.2">
      <c r="A21" s="1" t="s">
        <v>7</v>
      </c>
    </row>
    <row r="22" spans="1:7" x14ac:dyDescent="0.2">
      <c r="B22" t="s">
        <v>4</v>
      </c>
      <c r="F22" t="s">
        <v>9</v>
      </c>
    </row>
    <row r="23" spans="1:7" x14ac:dyDescent="0.2">
      <c r="B23">
        <v>10</v>
      </c>
      <c r="C23">
        <v>31.181000000000001</v>
      </c>
      <c r="F23">
        <v>2</v>
      </c>
      <c r="G23">
        <v>31.873000000000001</v>
      </c>
    </row>
    <row r="24" spans="1:7" x14ac:dyDescent="0.2">
      <c r="B24">
        <v>25</v>
      </c>
      <c r="C24">
        <v>31.134</v>
      </c>
      <c r="F24">
        <v>3</v>
      </c>
      <c r="G24">
        <v>30.308</v>
      </c>
    </row>
    <row r="25" spans="1:7" x14ac:dyDescent="0.2">
      <c r="B25">
        <v>50</v>
      </c>
      <c r="C25">
        <v>30.957999999999998</v>
      </c>
    </row>
    <row r="27" spans="1:7" x14ac:dyDescent="0.2">
      <c r="A27" s="1" t="s">
        <v>8</v>
      </c>
      <c r="F27" t="s">
        <v>8</v>
      </c>
    </row>
    <row r="28" spans="1:7" x14ac:dyDescent="0.2">
      <c r="B28" t="s">
        <v>0</v>
      </c>
      <c r="C28">
        <v>10</v>
      </c>
      <c r="D28">
        <v>25</v>
      </c>
      <c r="F28" t="s">
        <v>10</v>
      </c>
      <c r="G28">
        <f xml:space="preserve"> G24-G23</f>
        <v>-1.5650000000000013</v>
      </c>
    </row>
    <row r="29" spans="1:7" x14ac:dyDescent="0.2">
      <c r="B29">
        <v>25</v>
      </c>
      <c r="C29">
        <f>C24-C23</f>
        <v>-4.7000000000000597E-2</v>
      </c>
      <c r="D29" s="2"/>
    </row>
    <row r="30" spans="1:7" x14ac:dyDescent="0.2">
      <c r="B30">
        <v>50</v>
      </c>
      <c r="C30">
        <f>C25-C23</f>
        <v>-0.22300000000000253</v>
      </c>
      <c r="D30">
        <f>C25-C24</f>
        <v>-0.17600000000000193</v>
      </c>
    </row>
    <row r="32" spans="1:7" x14ac:dyDescent="0.2">
      <c r="A32" s="1" t="s">
        <v>3</v>
      </c>
      <c r="F32" t="s">
        <v>3</v>
      </c>
    </row>
    <row r="33" spans="2:7" x14ac:dyDescent="0.2">
      <c r="B33" t="s">
        <v>0</v>
      </c>
      <c r="C33">
        <v>10</v>
      </c>
      <c r="D33">
        <v>25</v>
      </c>
      <c r="F33" t="s">
        <v>10</v>
      </c>
      <c r="G33" s="3" t="s">
        <v>6</v>
      </c>
    </row>
    <row r="34" spans="2:7" x14ac:dyDescent="0.2">
      <c r="B34">
        <v>25</v>
      </c>
      <c r="C34" s="3">
        <v>3.2549999999999998E-14</v>
      </c>
      <c r="D34" s="2"/>
    </row>
    <row r="35" spans="2:7" x14ac:dyDescent="0.2">
      <c r="B35">
        <v>50</v>
      </c>
      <c r="C35" s="3" t="s">
        <v>6</v>
      </c>
      <c r="D35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304D-32A5-3944-A4C9-871A9AF4DEE1}">
  <dimension ref="A1:G35"/>
  <sheetViews>
    <sheetView topLeftCell="A27" workbookViewId="0">
      <selection activeCell="A32" sqref="A32"/>
    </sheetView>
  </sheetViews>
  <sheetFormatPr baseColWidth="10" defaultRowHeight="16" x14ac:dyDescent="0.2"/>
  <sheetData>
    <row r="1" spans="1:7" x14ac:dyDescent="0.2">
      <c r="A1" s="1" t="s">
        <v>1</v>
      </c>
    </row>
    <row r="2" spans="1:7" x14ac:dyDescent="0.2">
      <c r="A2" t="s">
        <v>13</v>
      </c>
    </row>
    <row r="3" spans="1:7" x14ac:dyDescent="0.2">
      <c r="A3" t="s">
        <v>12</v>
      </c>
    </row>
    <row r="5" spans="1:7" x14ac:dyDescent="0.2">
      <c r="A5" s="1" t="s">
        <v>2</v>
      </c>
    </row>
    <row r="6" spans="1:7" x14ac:dyDescent="0.2">
      <c r="B6" t="s">
        <v>4</v>
      </c>
      <c r="F6" t="s">
        <v>9</v>
      </c>
    </row>
    <row r="7" spans="1:7" x14ac:dyDescent="0.2">
      <c r="B7">
        <v>10</v>
      </c>
      <c r="C7">
        <v>9.3190000000000008</v>
      </c>
      <c r="F7">
        <v>2</v>
      </c>
      <c r="G7">
        <v>9.609</v>
      </c>
    </row>
    <row r="8" spans="1:7" x14ac:dyDescent="0.2">
      <c r="B8">
        <v>25</v>
      </c>
      <c r="C8">
        <v>9.282</v>
      </c>
      <c r="F8">
        <v>3</v>
      </c>
      <c r="G8">
        <v>8.8840000000000003</v>
      </c>
    </row>
    <row r="9" spans="1:7" x14ac:dyDescent="0.2">
      <c r="B9">
        <v>50</v>
      </c>
      <c r="C9">
        <v>9.1389999999999993</v>
      </c>
    </row>
    <row r="11" spans="1:7" x14ac:dyDescent="0.2">
      <c r="A11" s="1" t="s">
        <v>5</v>
      </c>
      <c r="F11" t="s">
        <v>5</v>
      </c>
    </row>
    <row r="12" spans="1:7" x14ac:dyDescent="0.2">
      <c r="B12" t="s">
        <v>0</v>
      </c>
      <c r="C12">
        <v>10</v>
      </c>
      <c r="D12">
        <v>25</v>
      </c>
      <c r="F12" t="s">
        <v>10</v>
      </c>
      <c r="G12">
        <f xml:space="preserve"> G8-G7</f>
        <v>-0.72499999999999964</v>
      </c>
    </row>
    <row r="13" spans="1:7" x14ac:dyDescent="0.2">
      <c r="B13">
        <v>25</v>
      </c>
      <c r="C13">
        <f>C8-C7</f>
        <v>-3.700000000000081E-2</v>
      </c>
      <c r="D13" s="2"/>
    </row>
    <row r="14" spans="1:7" x14ac:dyDescent="0.2">
      <c r="B14">
        <v>50</v>
      </c>
      <c r="C14">
        <f>C9-C7</f>
        <v>-0.18000000000000149</v>
      </c>
      <c r="D14">
        <f>C9-C8</f>
        <v>-0.14300000000000068</v>
      </c>
    </row>
    <row r="16" spans="1:7" x14ac:dyDescent="0.2">
      <c r="A16" s="1" t="s">
        <v>3</v>
      </c>
      <c r="F16" t="s">
        <v>3</v>
      </c>
    </row>
    <row r="17" spans="1:7" x14ac:dyDescent="0.2">
      <c r="B17" t="s">
        <v>0</v>
      </c>
      <c r="C17">
        <v>10</v>
      </c>
      <c r="D17">
        <v>25</v>
      </c>
      <c r="F17" t="s">
        <v>10</v>
      </c>
      <c r="G17" s="3" t="s">
        <v>6</v>
      </c>
    </row>
    <row r="18" spans="1:7" x14ac:dyDescent="0.2">
      <c r="B18">
        <v>25</v>
      </c>
      <c r="C18" s="3" t="s">
        <v>6</v>
      </c>
      <c r="D18" s="2"/>
    </row>
    <row r="19" spans="1:7" x14ac:dyDescent="0.2">
      <c r="B19">
        <v>50</v>
      </c>
      <c r="C19" s="3" t="s">
        <v>6</v>
      </c>
      <c r="D19" s="3" t="s">
        <v>6</v>
      </c>
    </row>
    <row r="21" spans="1:7" x14ac:dyDescent="0.2">
      <c r="A21" s="1" t="s">
        <v>7</v>
      </c>
    </row>
    <row r="22" spans="1:7" x14ac:dyDescent="0.2">
      <c r="B22" t="s">
        <v>4</v>
      </c>
      <c r="F22" t="s">
        <v>9</v>
      </c>
    </row>
    <row r="23" spans="1:7" x14ac:dyDescent="0.2">
      <c r="B23">
        <v>10</v>
      </c>
      <c r="C23">
        <v>30.741</v>
      </c>
      <c r="F23">
        <v>2</v>
      </c>
      <c r="G23">
        <v>31.581</v>
      </c>
    </row>
    <row r="24" spans="1:7" x14ac:dyDescent="0.2">
      <c r="B24">
        <v>25</v>
      </c>
      <c r="C24">
        <v>30.626999999999999</v>
      </c>
      <c r="F24">
        <v>3</v>
      </c>
      <c r="G24">
        <v>29.462</v>
      </c>
    </row>
    <row r="25" spans="1:7" x14ac:dyDescent="0.2">
      <c r="B25">
        <v>50</v>
      </c>
      <c r="C25">
        <v>30.198</v>
      </c>
    </row>
    <row r="27" spans="1:7" x14ac:dyDescent="0.2">
      <c r="A27" s="1" t="s">
        <v>8</v>
      </c>
      <c r="F27" t="s">
        <v>8</v>
      </c>
    </row>
    <row r="28" spans="1:7" x14ac:dyDescent="0.2">
      <c r="B28" t="s">
        <v>0</v>
      </c>
      <c r="C28">
        <v>10</v>
      </c>
      <c r="D28">
        <v>25</v>
      </c>
      <c r="F28" t="s">
        <v>10</v>
      </c>
      <c r="G28">
        <f xml:space="preserve"> G24-G23</f>
        <v>-2.1189999999999998</v>
      </c>
    </row>
    <row r="29" spans="1:7" x14ac:dyDescent="0.2">
      <c r="B29">
        <v>25</v>
      </c>
      <c r="C29">
        <f>C24-C23</f>
        <v>-0.11400000000000077</v>
      </c>
      <c r="D29" s="2"/>
    </row>
    <row r="30" spans="1:7" x14ac:dyDescent="0.2">
      <c r="B30">
        <v>50</v>
      </c>
      <c r="C30">
        <f>C25-C23</f>
        <v>-0.54299999999999926</v>
      </c>
      <c r="D30">
        <f>C25-C24</f>
        <v>-0.42899999999999849</v>
      </c>
    </row>
    <row r="32" spans="1:7" x14ac:dyDescent="0.2">
      <c r="A32" s="1" t="s">
        <v>3</v>
      </c>
      <c r="F32" t="s">
        <v>3</v>
      </c>
    </row>
    <row r="33" spans="2:7" x14ac:dyDescent="0.2">
      <c r="B33" t="s">
        <v>0</v>
      </c>
      <c r="C33">
        <v>10</v>
      </c>
      <c r="D33">
        <v>25</v>
      </c>
      <c r="F33" t="s">
        <v>10</v>
      </c>
      <c r="G33" s="3" t="s">
        <v>6</v>
      </c>
    </row>
    <row r="34" spans="2:7" x14ac:dyDescent="0.2">
      <c r="B34">
        <v>25</v>
      </c>
      <c r="C34" s="3" t="s">
        <v>6</v>
      </c>
      <c r="D34" s="2"/>
    </row>
    <row r="35" spans="2:7" x14ac:dyDescent="0.2">
      <c r="B35">
        <v>50</v>
      </c>
      <c r="C35" s="3" t="s">
        <v>6</v>
      </c>
      <c r="D35" s="3" t="s">
        <v>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4B68-4AC3-9944-ABFC-DACD0540E21C}">
  <dimension ref="A1:G35"/>
  <sheetViews>
    <sheetView topLeftCell="A26" workbookViewId="0">
      <selection activeCell="A32" sqref="A32"/>
    </sheetView>
  </sheetViews>
  <sheetFormatPr baseColWidth="10" defaultRowHeight="16" x14ac:dyDescent="0.2"/>
  <sheetData>
    <row r="1" spans="1:7" x14ac:dyDescent="0.2">
      <c r="A1" s="1" t="s">
        <v>1</v>
      </c>
    </row>
    <row r="2" spans="1:7" x14ac:dyDescent="0.2">
      <c r="A2" t="s">
        <v>13</v>
      </c>
    </row>
    <row r="3" spans="1:7" x14ac:dyDescent="0.2">
      <c r="A3" t="s">
        <v>11</v>
      </c>
    </row>
    <row r="5" spans="1:7" x14ac:dyDescent="0.2">
      <c r="A5" s="1" t="s">
        <v>2</v>
      </c>
    </row>
    <row r="6" spans="1:7" x14ac:dyDescent="0.2">
      <c r="B6" t="s">
        <v>4</v>
      </c>
      <c r="F6" t="s">
        <v>9</v>
      </c>
    </row>
    <row r="7" spans="1:7" x14ac:dyDescent="0.2">
      <c r="B7">
        <v>10</v>
      </c>
      <c r="C7">
        <v>10.714</v>
      </c>
      <c r="F7">
        <v>2</v>
      </c>
      <c r="G7">
        <v>10.518000000000001</v>
      </c>
    </row>
    <row r="8" spans="1:7" x14ac:dyDescent="0.2">
      <c r="B8">
        <v>25</v>
      </c>
      <c r="C8">
        <v>10.707000000000001</v>
      </c>
      <c r="F8">
        <v>3</v>
      </c>
      <c r="G8">
        <v>10.814</v>
      </c>
    </row>
    <row r="9" spans="1:7" x14ac:dyDescent="0.2">
      <c r="B9">
        <v>50</v>
      </c>
      <c r="C9">
        <v>10.577999999999999</v>
      </c>
    </row>
    <row r="11" spans="1:7" x14ac:dyDescent="0.2">
      <c r="A11" s="1" t="s">
        <v>5</v>
      </c>
      <c r="F11" t="s">
        <v>5</v>
      </c>
    </row>
    <row r="12" spans="1:7" x14ac:dyDescent="0.2">
      <c r="B12" t="s">
        <v>0</v>
      </c>
      <c r="C12">
        <v>10</v>
      </c>
      <c r="D12">
        <v>25</v>
      </c>
      <c r="F12" t="s">
        <v>10</v>
      </c>
      <c r="G12">
        <f xml:space="preserve"> G8-G7</f>
        <v>0.29599999999999937</v>
      </c>
    </row>
    <row r="13" spans="1:7" x14ac:dyDescent="0.2">
      <c r="B13">
        <v>25</v>
      </c>
      <c r="C13">
        <f>C8-C7</f>
        <v>-6.9999999999996732E-3</v>
      </c>
      <c r="D13" s="2"/>
    </row>
    <row r="14" spans="1:7" x14ac:dyDescent="0.2">
      <c r="B14">
        <v>50</v>
      </c>
      <c r="C14">
        <f>C9-C7</f>
        <v>-0.13600000000000101</v>
      </c>
      <c r="D14">
        <f>C9-C8</f>
        <v>-0.12900000000000134</v>
      </c>
    </row>
    <row r="16" spans="1:7" x14ac:dyDescent="0.2">
      <c r="A16" s="1" t="s">
        <v>3</v>
      </c>
      <c r="F16" t="s">
        <v>3</v>
      </c>
    </row>
    <row r="17" spans="1:7" x14ac:dyDescent="0.2">
      <c r="B17" t="s">
        <v>0</v>
      </c>
      <c r="C17">
        <v>10</v>
      </c>
      <c r="D17">
        <v>25</v>
      </c>
      <c r="F17" t="s">
        <v>10</v>
      </c>
      <c r="G17" s="3" t="s">
        <v>6</v>
      </c>
    </row>
    <row r="18" spans="1:7" x14ac:dyDescent="0.2">
      <c r="B18">
        <v>25</v>
      </c>
      <c r="C18" s="3">
        <v>7.1210000000000002E-4</v>
      </c>
      <c r="D18" s="2"/>
    </row>
    <row r="19" spans="1:7" x14ac:dyDescent="0.2">
      <c r="B19">
        <v>50</v>
      </c>
      <c r="C19" s="3" t="s">
        <v>6</v>
      </c>
      <c r="D19" s="3" t="s">
        <v>6</v>
      </c>
    </row>
    <row r="21" spans="1:7" x14ac:dyDescent="0.2">
      <c r="A21" s="1" t="s">
        <v>7</v>
      </c>
    </row>
    <row r="22" spans="1:7" x14ac:dyDescent="0.2">
      <c r="B22" t="s">
        <v>4</v>
      </c>
      <c r="F22" t="s">
        <v>9</v>
      </c>
    </row>
    <row r="23" spans="1:7" x14ac:dyDescent="0.2">
      <c r="B23">
        <v>10</v>
      </c>
      <c r="C23">
        <v>34.552999999999997</v>
      </c>
      <c r="F23">
        <v>2</v>
      </c>
      <c r="G23">
        <v>34.390999999999998</v>
      </c>
    </row>
    <row r="24" spans="1:7" x14ac:dyDescent="0.2">
      <c r="B24">
        <v>25</v>
      </c>
      <c r="C24">
        <v>34.631</v>
      </c>
      <c r="F24">
        <v>3</v>
      </c>
      <c r="G24">
        <v>34.698</v>
      </c>
    </row>
    <row r="25" spans="1:7" x14ac:dyDescent="0.2">
      <c r="B25">
        <v>50</v>
      </c>
      <c r="C25">
        <v>34.448999999999998</v>
      </c>
    </row>
    <row r="27" spans="1:7" x14ac:dyDescent="0.2">
      <c r="A27" s="1" t="s">
        <v>8</v>
      </c>
      <c r="F27" t="s">
        <v>8</v>
      </c>
    </row>
    <row r="28" spans="1:7" x14ac:dyDescent="0.2">
      <c r="B28" t="s">
        <v>0</v>
      </c>
      <c r="C28">
        <v>10</v>
      </c>
      <c r="D28">
        <v>25</v>
      </c>
      <c r="F28" t="s">
        <v>10</v>
      </c>
      <c r="G28">
        <f xml:space="preserve"> G24-G23</f>
        <v>0.30700000000000216</v>
      </c>
    </row>
    <row r="29" spans="1:7" x14ac:dyDescent="0.2">
      <c r="B29">
        <v>25</v>
      </c>
      <c r="C29">
        <f>C24-C23</f>
        <v>7.8000000000002956E-2</v>
      </c>
      <c r="D29" s="2"/>
    </row>
    <row r="30" spans="1:7" x14ac:dyDescent="0.2">
      <c r="B30">
        <v>50</v>
      </c>
      <c r="C30">
        <f>C25-C23</f>
        <v>-0.1039999999999992</v>
      </c>
      <c r="D30">
        <f>C25-C24</f>
        <v>-0.18200000000000216</v>
      </c>
    </row>
    <row r="32" spans="1:7" x14ac:dyDescent="0.2">
      <c r="A32" s="1" t="s">
        <v>3</v>
      </c>
      <c r="F32" t="s">
        <v>3</v>
      </c>
    </row>
    <row r="33" spans="2:7" x14ac:dyDescent="0.2">
      <c r="B33" t="s">
        <v>0</v>
      </c>
      <c r="C33">
        <v>10</v>
      </c>
      <c r="D33">
        <v>25</v>
      </c>
      <c r="F33" t="s">
        <v>10</v>
      </c>
      <c r="G33" s="3" t="s">
        <v>6</v>
      </c>
    </row>
    <row r="34" spans="2:7" x14ac:dyDescent="0.2">
      <c r="B34">
        <v>25</v>
      </c>
      <c r="C34" s="3" t="s">
        <v>6</v>
      </c>
      <c r="D34" s="2"/>
    </row>
    <row r="35" spans="2:7" x14ac:dyDescent="0.2">
      <c r="B35">
        <v>50</v>
      </c>
      <c r="C35" s="3" t="s">
        <v>6</v>
      </c>
      <c r="D35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24CA-A281-2445-A65D-1F7D91817A74}">
  <dimension ref="A1:G35"/>
  <sheetViews>
    <sheetView tabSelected="1" topLeftCell="A47" workbookViewId="0">
      <selection activeCell="A32" sqref="A32"/>
    </sheetView>
  </sheetViews>
  <sheetFormatPr baseColWidth="10" defaultRowHeight="16" x14ac:dyDescent="0.2"/>
  <sheetData>
    <row r="1" spans="1:7" x14ac:dyDescent="0.2">
      <c r="A1" s="1" t="s">
        <v>1</v>
      </c>
    </row>
    <row r="2" spans="1:7" x14ac:dyDescent="0.2">
      <c r="A2" t="s">
        <v>13</v>
      </c>
    </row>
    <row r="3" spans="1:7" x14ac:dyDescent="0.2">
      <c r="A3" t="s">
        <v>12</v>
      </c>
    </row>
    <row r="5" spans="1:7" x14ac:dyDescent="0.2">
      <c r="A5" s="1" t="s">
        <v>2</v>
      </c>
    </row>
    <row r="6" spans="1:7" x14ac:dyDescent="0.2">
      <c r="B6" t="s">
        <v>4</v>
      </c>
      <c r="F6" t="s">
        <v>9</v>
      </c>
    </row>
    <row r="7" spans="1:7" x14ac:dyDescent="0.2">
      <c r="B7">
        <v>10</v>
      </c>
      <c r="C7">
        <v>10.345000000000001</v>
      </c>
      <c r="F7">
        <v>2</v>
      </c>
      <c r="G7">
        <v>10.106</v>
      </c>
    </row>
    <row r="8" spans="1:7" x14ac:dyDescent="0.2">
      <c r="B8">
        <v>25</v>
      </c>
      <c r="C8">
        <v>10.295999999999999</v>
      </c>
      <c r="F8">
        <v>3</v>
      </c>
      <c r="G8">
        <v>10.393000000000001</v>
      </c>
    </row>
    <row r="9" spans="1:7" x14ac:dyDescent="0.2">
      <c r="B9">
        <v>50</v>
      </c>
      <c r="C9">
        <v>10.106999999999999</v>
      </c>
    </row>
    <row r="11" spans="1:7" x14ac:dyDescent="0.2">
      <c r="A11" s="1" t="s">
        <v>5</v>
      </c>
      <c r="F11" t="s">
        <v>5</v>
      </c>
    </row>
    <row r="12" spans="1:7" x14ac:dyDescent="0.2">
      <c r="B12" t="s">
        <v>0</v>
      </c>
      <c r="C12">
        <v>10</v>
      </c>
      <c r="D12">
        <v>25</v>
      </c>
      <c r="F12" t="s">
        <v>10</v>
      </c>
      <c r="G12">
        <f xml:space="preserve"> G8-G7</f>
        <v>0.28700000000000081</v>
      </c>
    </row>
    <row r="13" spans="1:7" x14ac:dyDescent="0.2">
      <c r="B13">
        <v>25</v>
      </c>
      <c r="C13">
        <f>C8-C7</f>
        <v>-4.9000000000001265E-2</v>
      </c>
      <c r="D13" s="2"/>
    </row>
    <row r="14" spans="1:7" x14ac:dyDescent="0.2">
      <c r="B14">
        <v>50</v>
      </c>
      <c r="C14">
        <f>C9-C7</f>
        <v>-0.23800000000000132</v>
      </c>
      <c r="D14">
        <f>C9-C8</f>
        <v>-0.18900000000000006</v>
      </c>
    </row>
    <row r="16" spans="1:7" x14ac:dyDescent="0.2">
      <c r="A16" s="1" t="s">
        <v>3</v>
      </c>
      <c r="F16" t="s">
        <v>3</v>
      </c>
    </row>
    <row r="17" spans="1:7" x14ac:dyDescent="0.2">
      <c r="B17" t="s">
        <v>0</v>
      </c>
      <c r="C17">
        <v>10</v>
      </c>
      <c r="D17">
        <v>25</v>
      </c>
      <c r="F17" t="s">
        <v>10</v>
      </c>
      <c r="G17" s="3" t="s">
        <v>6</v>
      </c>
    </row>
    <row r="18" spans="1:7" x14ac:dyDescent="0.2">
      <c r="B18">
        <v>25</v>
      </c>
      <c r="C18" s="3" t="s">
        <v>6</v>
      </c>
      <c r="D18" s="2"/>
    </row>
    <row r="19" spans="1:7" x14ac:dyDescent="0.2">
      <c r="B19">
        <v>50</v>
      </c>
      <c r="C19" s="3" t="s">
        <v>6</v>
      </c>
      <c r="D19" s="3" t="s">
        <v>6</v>
      </c>
    </row>
    <row r="21" spans="1:7" x14ac:dyDescent="0.2">
      <c r="A21" s="1" t="s">
        <v>7</v>
      </c>
    </row>
    <row r="22" spans="1:7" x14ac:dyDescent="0.2">
      <c r="B22" s="4" t="s">
        <v>4</v>
      </c>
      <c r="F22" t="s">
        <v>9</v>
      </c>
    </row>
    <row r="23" spans="1:7" x14ac:dyDescent="0.2">
      <c r="B23">
        <v>10</v>
      </c>
      <c r="C23">
        <v>33.756</v>
      </c>
      <c r="F23">
        <v>2</v>
      </c>
      <c r="G23">
        <v>33.43</v>
      </c>
    </row>
    <row r="24" spans="1:7" x14ac:dyDescent="0.2">
      <c r="B24">
        <v>25</v>
      </c>
      <c r="C24">
        <v>33.707999999999998</v>
      </c>
      <c r="F24">
        <v>3</v>
      </c>
      <c r="G24">
        <v>33.741999999999997</v>
      </c>
    </row>
    <row r="25" spans="1:7" x14ac:dyDescent="0.2">
      <c r="B25">
        <v>50</v>
      </c>
      <c r="C25">
        <v>33.293999999999997</v>
      </c>
    </row>
    <row r="27" spans="1:7" x14ac:dyDescent="0.2">
      <c r="A27" s="1" t="s">
        <v>8</v>
      </c>
      <c r="F27" t="s">
        <v>8</v>
      </c>
    </row>
    <row r="28" spans="1:7" x14ac:dyDescent="0.2">
      <c r="B28" t="s">
        <v>0</v>
      </c>
      <c r="C28">
        <v>10</v>
      </c>
      <c r="D28">
        <v>25</v>
      </c>
      <c r="F28" t="s">
        <v>10</v>
      </c>
      <c r="G28">
        <f xml:space="preserve"> G24-G23</f>
        <v>0.31199999999999761</v>
      </c>
    </row>
    <row r="29" spans="1:7" x14ac:dyDescent="0.2">
      <c r="B29">
        <v>25</v>
      </c>
      <c r="C29">
        <f>C24-C23</f>
        <v>-4.8000000000001819E-2</v>
      </c>
      <c r="D29" s="2"/>
    </row>
    <row r="30" spans="1:7" x14ac:dyDescent="0.2">
      <c r="B30">
        <v>50</v>
      </c>
      <c r="C30">
        <f>C25-C23</f>
        <v>-0.4620000000000033</v>
      </c>
      <c r="D30">
        <f>C25-C24</f>
        <v>-0.41400000000000148</v>
      </c>
    </row>
    <row r="32" spans="1:7" x14ac:dyDescent="0.2">
      <c r="A32" s="1" t="s">
        <v>3</v>
      </c>
      <c r="F32" t="s">
        <v>3</v>
      </c>
    </row>
    <row r="33" spans="2:7" x14ac:dyDescent="0.2">
      <c r="B33" t="s">
        <v>0</v>
      </c>
      <c r="C33">
        <v>10</v>
      </c>
      <c r="D33">
        <v>25</v>
      </c>
      <c r="F33" t="s">
        <v>10</v>
      </c>
      <c r="G33" s="3" t="s">
        <v>6</v>
      </c>
    </row>
    <row r="34" spans="2:7" x14ac:dyDescent="0.2">
      <c r="B34">
        <v>25</v>
      </c>
      <c r="C34" s="3" t="s">
        <v>6</v>
      </c>
      <c r="D34" s="2"/>
    </row>
    <row r="35" spans="2:7" x14ac:dyDescent="0.2">
      <c r="B35">
        <v>50</v>
      </c>
      <c r="C35" s="3" t="s">
        <v>6</v>
      </c>
      <c r="D35" s="3" t="s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PC1 and 2 (unaligned)</vt:lpstr>
      <vt:lpstr>All PCs (unaligned)</vt:lpstr>
      <vt:lpstr>PC1 and 2 (aligned)</vt:lpstr>
      <vt:lpstr>All PCs (aligned)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Raskin</dc:creator>
  <cp:lastModifiedBy>Levi Raskin</cp:lastModifiedBy>
  <dcterms:created xsi:type="dcterms:W3CDTF">2025-10-06T23:19:50Z</dcterms:created>
  <dcterms:modified xsi:type="dcterms:W3CDTF">2025-10-07T00:22:12Z</dcterms:modified>
</cp:coreProperties>
</file>